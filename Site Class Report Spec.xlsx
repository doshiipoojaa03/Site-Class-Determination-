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idasinfra-my.sharepoint.com/personal/nandeep_midasit_com/Documents/11  Specs - India Office Generated/"/>
    </mc:Choice>
  </mc:AlternateContent>
  <xr:revisionPtr revIDLastSave="0" documentId="8_{51166A51-5AB9-480A-A1BF-8F0400BBC2AA}" xr6:coauthVersionLast="47" xr6:coauthVersionMax="47" xr10:uidLastSave="{00000000-0000-0000-0000-000000000000}"/>
  <bookViews>
    <workbookView xWindow="30600" yWindow="1140" windowWidth="38640" windowHeight="15720" xr2:uid="{00000000-000D-0000-FFFF-FFFF00000000}"/>
  </bookViews>
  <sheets>
    <sheet name="Site Class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N3" i="1"/>
  <c r="E17" i="1"/>
  <c r="AB17" i="1"/>
</calcChain>
</file>

<file path=xl/sharedStrings.xml><?xml version="1.0" encoding="utf-8"?>
<sst xmlns="http://schemas.openxmlformats.org/spreadsheetml/2006/main" count="63" uniqueCount="48">
  <si>
    <t>Layer 1</t>
  </si>
  <si>
    <t>m</t>
  </si>
  <si>
    <t>Soil Type</t>
  </si>
  <si>
    <t>Saturated Sands</t>
  </si>
  <si>
    <t>Fines &lt; 15%</t>
  </si>
  <si>
    <t>Yes</t>
  </si>
  <si>
    <t>m/s</t>
  </si>
  <si>
    <t>Layer 2</t>
  </si>
  <si>
    <t>No</t>
  </si>
  <si>
    <t>Layer 3</t>
  </si>
  <si>
    <t>Dry Sands</t>
  </si>
  <si>
    <t>Layer 4</t>
  </si>
  <si>
    <t>Layer 5</t>
  </si>
  <si>
    <t>Clays</t>
  </si>
  <si>
    <t>Layer 6</t>
  </si>
  <si>
    <t>Others</t>
  </si>
  <si>
    <t>C</t>
  </si>
  <si>
    <t>A</t>
  </si>
  <si>
    <t>B</t>
  </si>
  <si>
    <t>D</t>
  </si>
  <si>
    <t>E</t>
  </si>
  <si>
    <t>Site Class Determination Report (Clause 6.2.3.1)</t>
  </si>
  <si>
    <t>\</t>
  </si>
  <si>
    <t>Site Class =</t>
  </si>
  <si>
    <r>
      <t>Thickness (t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)</t>
    </r>
  </si>
  <si>
    <t>Nos.</t>
  </si>
  <si>
    <t>Formula</t>
  </si>
  <si>
    <r>
      <t>V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 ≥ 1500</t>
    </r>
  </si>
  <si>
    <r>
      <t>760 ≤ V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 &lt; 1500</t>
    </r>
  </si>
  <si>
    <r>
      <t>360 ≤ V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 &lt; 760</t>
    </r>
  </si>
  <si>
    <r>
      <t>180 ≤ V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 &lt; 360</t>
    </r>
  </si>
  <si>
    <r>
      <t>V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 ≤ 180</t>
    </r>
  </si>
  <si>
    <r>
      <t>V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 = Σt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/ Σ(t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/ V</t>
    </r>
    <r>
      <rPr>
        <vertAlign val="subscript"/>
        <sz val="11"/>
        <color theme="1"/>
        <rFont val="Calibri"/>
        <family val="2"/>
        <scheme val="minor"/>
      </rPr>
      <t>Si</t>
    </r>
    <r>
      <rPr>
        <sz val="11"/>
        <color theme="1"/>
        <rFont val="Calibri"/>
        <family val="2"/>
        <scheme val="minor"/>
      </rPr>
      <t>) =</t>
    </r>
  </si>
  <si>
    <r>
      <t>(N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60i</t>
    </r>
  </si>
  <si>
    <r>
      <t>Shear Wave Velocity V</t>
    </r>
    <r>
      <rPr>
        <vertAlign val="subscript"/>
        <sz val="11"/>
        <color theme="1"/>
        <rFont val="Calibri"/>
        <family val="2"/>
        <scheme val="minor"/>
      </rPr>
      <t>Si</t>
    </r>
  </si>
  <si>
    <r>
      <t>t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/ V</t>
    </r>
    <r>
      <rPr>
        <vertAlign val="subscript"/>
        <sz val="11"/>
        <color theme="1"/>
        <rFont val="Calibri"/>
        <family val="2"/>
        <scheme val="minor"/>
      </rPr>
      <t>Si</t>
    </r>
  </si>
  <si>
    <r>
      <t>80[(N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60i</t>
    </r>
    <r>
      <rPr>
        <sz val="11"/>
        <color theme="1"/>
        <rFont val="Calibri"/>
        <family val="2"/>
        <scheme val="minor"/>
      </rPr>
      <t>]</t>
    </r>
    <r>
      <rPr>
        <vertAlign val="superscript"/>
        <sz val="11"/>
        <color theme="1"/>
        <rFont val="Calibri"/>
        <family val="2"/>
        <scheme val="minor"/>
      </rPr>
      <t>0.4</t>
    </r>
  </si>
  <si>
    <t>NA</t>
  </si>
  <si>
    <r>
      <t>80[(N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60i</t>
    </r>
    <r>
      <rPr>
        <sz val="11"/>
        <color theme="1"/>
        <rFont val="Calibri"/>
        <family val="2"/>
        <scheme val="minor"/>
      </rPr>
      <t>]</t>
    </r>
    <r>
      <rPr>
        <vertAlign val="superscript"/>
        <sz val="11"/>
        <color theme="1"/>
        <rFont val="Calibri"/>
        <family val="2"/>
        <scheme val="minor"/>
      </rPr>
      <t>0.5</t>
    </r>
  </si>
  <si>
    <r>
      <t>80[(N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60i</t>
    </r>
    <r>
      <rPr>
        <sz val="11"/>
        <color theme="1"/>
        <rFont val="Calibri"/>
        <family val="2"/>
        <scheme val="minor"/>
      </rPr>
      <t>]</t>
    </r>
    <r>
      <rPr>
        <vertAlign val="superscript"/>
        <sz val="11"/>
        <color theme="1"/>
        <rFont val="Calibri"/>
        <family val="2"/>
        <scheme val="minor"/>
      </rPr>
      <t>0.3</t>
    </r>
  </si>
  <si>
    <r>
      <t>Σ(t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/ V</t>
    </r>
    <r>
      <rPr>
        <vertAlign val="subscript"/>
        <sz val="11"/>
        <color theme="1"/>
        <rFont val="Calibri"/>
        <family val="2"/>
        <scheme val="minor"/>
      </rPr>
      <t>Si</t>
    </r>
    <r>
      <rPr>
        <sz val="11"/>
        <color theme="1"/>
        <rFont val="Calibri"/>
        <family val="2"/>
        <scheme val="minor"/>
      </rPr>
      <t>) =</t>
    </r>
  </si>
  <si>
    <r>
      <t xml:space="preserve"> Σt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=</t>
    </r>
  </si>
  <si>
    <t>Soil Layers</t>
  </si>
  <si>
    <t>Depth of Influence =</t>
  </si>
  <si>
    <t>Table 4 - Site Classes for estimating normalised PSA</t>
  </si>
  <si>
    <t>Details:</t>
  </si>
  <si>
    <t>Summary:</t>
  </si>
  <si>
    <r>
      <t>Weighted Average Shear Wave Velocity V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 =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</si>
</sst>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quotePrefix="1" applyFont="1" applyAlignment="1">
      <alignment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1"/>
  <sheetViews>
    <sheetView tabSelected="1" workbookViewId="0">
      <selection activeCell="BJ28" sqref="BJ28"/>
    </sheetView>
  </sheetViews>
  <sheetFormatPr defaultColWidth="3.33203125" defaultRowHeight="18" customHeight="1" x14ac:dyDescent="0.3"/>
  <cols>
    <col min="1" max="16384" width="3.33203125" style="2"/>
  </cols>
  <sheetData>
    <row r="1" spans="1:40" ht="18" customHeight="1" x14ac:dyDescent="0.3">
      <c r="A1" s="1" t="s">
        <v>21</v>
      </c>
    </row>
    <row r="2" spans="1:40" ht="18" customHeight="1" x14ac:dyDescent="0.3">
      <c r="B2" s="3" t="s">
        <v>46</v>
      </c>
    </row>
    <row r="3" spans="1:40" ht="18" customHeight="1" x14ac:dyDescent="0.3">
      <c r="B3" s="2" t="s">
        <v>47</v>
      </c>
      <c r="N3" s="10">
        <f>AL17</f>
        <v>393.5335</v>
      </c>
      <c r="O3" s="10"/>
      <c r="P3" s="10"/>
      <c r="Q3" s="2" t="s">
        <v>6</v>
      </c>
    </row>
    <row r="4" spans="1:40" ht="18" customHeight="1" x14ac:dyDescent="0.3">
      <c r="B4" s="9" t="s">
        <v>22</v>
      </c>
      <c r="C4" s="1" t="s">
        <v>23</v>
      </c>
      <c r="D4" s="1"/>
      <c r="E4" s="1"/>
      <c r="F4" s="1"/>
      <c r="G4" s="17" t="str">
        <f>AM18</f>
        <v>C</v>
      </c>
      <c r="H4" s="17"/>
      <c r="N4" s="4"/>
      <c r="O4" s="4"/>
      <c r="P4" s="4"/>
    </row>
    <row r="6" spans="1:40" ht="18" customHeight="1" x14ac:dyDescent="0.3">
      <c r="B6" s="3" t="s">
        <v>45</v>
      </c>
    </row>
    <row r="7" spans="1:40" ht="18" customHeight="1" x14ac:dyDescent="0.3">
      <c r="B7" s="12" t="s">
        <v>43</v>
      </c>
      <c r="C7" s="12"/>
      <c r="D7" s="12"/>
      <c r="E7" s="12"/>
      <c r="F7" s="12"/>
      <c r="G7" s="12"/>
      <c r="H7" s="10">
        <v>28</v>
      </c>
      <c r="I7" s="10"/>
      <c r="J7" s="2" t="s">
        <v>1</v>
      </c>
    </row>
    <row r="9" spans="1:40" ht="18" customHeight="1" x14ac:dyDescent="0.3">
      <c r="B9" s="13" t="s">
        <v>42</v>
      </c>
      <c r="C9" s="13"/>
      <c r="D9" s="13"/>
      <c r="E9" s="5" t="s">
        <v>24</v>
      </c>
      <c r="F9" s="5"/>
      <c r="G9" s="5"/>
      <c r="H9" s="5"/>
      <c r="I9" s="5" t="s">
        <v>2</v>
      </c>
      <c r="J9" s="5"/>
      <c r="K9" s="5"/>
      <c r="L9" s="5"/>
      <c r="M9" s="5"/>
      <c r="N9" s="13" t="s">
        <v>4</v>
      </c>
      <c r="O9" s="13"/>
      <c r="P9" s="13"/>
      <c r="Q9" s="5" t="s">
        <v>33</v>
      </c>
      <c r="R9" s="5"/>
      <c r="S9" s="5"/>
      <c r="T9" s="5" t="s">
        <v>34</v>
      </c>
      <c r="U9" s="5"/>
      <c r="V9" s="5"/>
      <c r="W9" s="5"/>
      <c r="X9" s="5"/>
      <c r="Y9" s="5"/>
      <c r="Z9" s="5"/>
      <c r="AA9" s="5"/>
      <c r="AB9" s="5" t="s">
        <v>35</v>
      </c>
      <c r="AC9" s="5"/>
      <c r="AD9" s="5"/>
      <c r="AE9" s="5"/>
      <c r="AG9" s="15" t="s">
        <v>44</v>
      </c>
      <c r="AH9" s="15"/>
      <c r="AI9" s="15"/>
      <c r="AJ9" s="15"/>
      <c r="AK9" s="15"/>
      <c r="AL9" s="15"/>
      <c r="AM9" s="15"/>
      <c r="AN9" s="15"/>
    </row>
    <row r="10" spans="1:40" ht="18" customHeight="1" x14ac:dyDescent="0.3">
      <c r="B10" s="13"/>
      <c r="C10" s="13"/>
      <c r="D10" s="13"/>
      <c r="E10" s="5" t="s">
        <v>1</v>
      </c>
      <c r="F10" s="5"/>
      <c r="G10" s="5"/>
      <c r="H10" s="5"/>
      <c r="I10" s="5"/>
      <c r="J10" s="5"/>
      <c r="K10" s="5"/>
      <c r="L10" s="5"/>
      <c r="M10" s="5"/>
      <c r="N10" s="13"/>
      <c r="O10" s="13"/>
      <c r="P10" s="13"/>
      <c r="Q10" s="5" t="s">
        <v>25</v>
      </c>
      <c r="R10" s="5"/>
      <c r="S10" s="5"/>
      <c r="T10" s="5" t="s">
        <v>26</v>
      </c>
      <c r="U10" s="5"/>
      <c r="V10" s="5"/>
      <c r="W10" s="5"/>
      <c r="X10" s="5"/>
      <c r="Y10" s="5" t="s">
        <v>6</v>
      </c>
      <c r="Z10" s="5"/>
      <c r="AA10" s="5"/>
      <c r="AB10" s="5"/>
      <c r="AC10" s="5"/>
      <c r="AD10" s="5"/>
      <c r="AE10" s="5"/>
      <c r="AG10" s="16"/>
      <c r="AH10" s="16"/>
      <c r="AI10" s="16"/>
      <c r="AJ10" s="16"/>
      <c r="AK10" s="16"/>
      <c r="AL10" s="16"/>
      <c r="AM10" s="16"/>
      <c r="AN10" s="16"/>
    </row>
    <row r="11" spans="1:40" ht="18" customHeight="1" x14ac:dyDescent="0.3">
      <c r="B11" s="14" t="s">
        <v>0</v>
      </c>
      <c r="C11" s="14"/>
      <c r="D11" s="14"/>
      <c r="E11" s="5">
        <v>1.375</v>
      </c>
      <c r="F11" s="5"/>
      <c r="G11" s="5"/>
      <c r="H11" s="5"/>
      <c r="I11" s="5" t="s">
        <v>3</v>
      </c>
      <c r="J11" s="5"/>
      <c r="K11" s="5"/>
      <c r="L11" s="5"/>
      <c r="M11" s="5"/>
      <c r="N11" s="5" t="s">
        <v>5</v>
      </c>
      <c r="O11" s="5"/>
      <c r="P11" s="5"/>
      <c r="Q11" s="5">
        <v>100</v>
      </c>
      <c r="R11" s="5"/>
      <c r="S11" s="5"/>
      <c r="T11" s="5" t="s">
        <v>36</v>
      </c>
      <c r="U11" s="5"/>
      <c r="V11" s="5"/>
      <c r="W11" s="5"/>
      <c r="X11" s="5"/>
      <c r="Y11" s="5">
        <v>504.76589999999999</v>
      </c>
      <c r="Z11" s="5"/>
      <c r="AA11" s="5"/>
      <c r="AB11" s="5">
        <v>2.7240400000000001E-3</v>
      </c>
      <c r="AC11" s="5"/>
      <c r="AD11" s="5"/>
      <c r="AE11" s="5"/>
      <c r="AG11" s="5" t="s">
        <v>17</v>
      </c>
      <c r="AH11" s="5"/>
      <c r="AI11" s="5"/>
      <c r="AJ11" s="5" t="s">
        <v>27</v>
      </c>
      <c r="AK11" s="5"/>
      <c r="AL11" s="5"/>
      <c r="AM11" s="5"/>
      <c r="AN11" s="5"/>
    </row>
    <row r="12" spans="1:40" ht="18" customHeight="1" x14ac:dyDescent="0.3">
      <c r="B12" s="14" t="s">
        <v>7</v>
      </c>
      <c r="C12" s="14"/>
      <c r="D12" s="14"/>
      <c r="E12" s="5">
        <v>3.2</v>
      </c>
      <c r="F12" s="5"/>
      <c r="G12" s="5"/>
      <c r="H12" s="5"/>
      <c r="I12" s="5" t="s">
        <v>3</v>
      </c>
      <c r="J12" s="5"/>
      <c r="K12" s="5"/>
      <c r="L12" s="5"/>
      <c r="M12" s="5"/>
      <c r="N12" s="5" t="s">
        <v>8</v>
      </c>
      <c r="O12" s="5"/>
      <c r="P12" s="5"/>
      <c r="Q12" s="5">
        <v>15</v>
      </c>
      <c r="R12" s="5"/>
      <c r="S12" s="5"/>
      <c r="T12" s="5" t="s">
        <v>39</v>
      </c>
      <c r="U12" s="5"/>
      <c r="V12" s="5"/>
      <c r="W12" s="5"/>
      <c r="X12" s="5"/>
      <c r="Y12" s="5">
        <v>180.26750000000001</v>
      </c>
      <c r="Z12" s="5"/>
      <c r="AA12" s="5"/>
      <c r="AB12" s="5">
        <v>1.7751400000000001E-2</v>
      </c>
      <c r="AC12" s="5"/>
      <c r="AD12" s="5"/>
      <c r="AE12" s="5"/>
      <c r="AG12" s="5" t="s">
        <v>18</v>
      </c>
      <c r="AH12" s="5"/>
      <c r="AI12" s="5"/>
      <c r="AJ12" s="5" t="s">
        <v>28</v>
      </c>
      <c r="AK12" s="5"/>
      <c r="AL12" s="5"/>
      <c r="AM12" s="5"/>
      <c r="AN12" s="5"/>
    </row>
    <row r="13" spans="1:40" ht="18" customHeight="1" x14ac:dyDescent="0.3">
      <c r="B13" s="14" t="s">
        <v>9</v>
      </c>
      <c r="C13" s="14"/>
      <c r="D13" s="14"/>
      <c r="E13" s="5">
        <v>2.5</v>
      </c>
      <c r="F13" s="5"/>
      <c r="G13" s="5"/>
      <c r="H13" s="5"/>
      <c r="I13" s="5" t="s">
        <v>10</v>
      </c>
      <c r="J13" s="5"/>
      <c r="K13" s="5"/>
      <c r="L13" s="5"/>
      <c r="M13" s="5"/>
      <c r="N13" s="5" t="s">
        <v>5</v>
      </c>
      <c r="O13" s="5"/>
      <c r="P13" s="5"/>
      <c r="Q13" s="5">
        <v>67</v>
      </c>
      <c r="R13" s="5"/>
      <c r="S13" s="5"/>
      <c r="T13" s="5" t="s">
        <v>38</v>
      </c>
      <c r="U13" s="5"/>
      <c r="V13" s="5"/>
      <c r="W13" s="5"/>
      <c r="X13" s="5"/>
      <c r="Y13" s="5">
        <v>654.82820000000004</v>
      </c>
      <c r="Z13" s="5"/>
      <c r="AA13" s="5"/>
      <c r="AB13" s="5">
        <v>3.8178000000000001E-3</v>
      </c>
      <c r="AC13" s="5"/>
      <c r="AD13" s="5"/>
      <c r="AE13" s="5"/>
      <c r="AG13" s="6" t="s">
        <v>16</v>
      </c>
      <c r="AH13" s="6"/>
      <c r="AI13" s="6"/>
      <c r="AJ13" s="6" t="s">
        <v>29</v>
      </c>
      <c r="AK13" s="6"/>
      <c r="AL13" s="6"/>
      <c r="AM13" s="6"/>
      <c r="AN13" s="6"/>
    </row>
    <row r="14" spans="1:40" ht="18" customHeight="1" x14ac:dyDescent="0.3">
      <c r="B14" s="14" t="s">
        <v>11</v>
      </c>
      <c r="C14" s="14"/>
      <c r="D14" s="14"/>
      <c r="E14" s="5">
        <v>4</v>
      </c>
      <c r="F14" s="5"/>
      <c r="G14" s="5"/>
      <c r="H14" s="5"/>
      <c r="I14" s="5" t="s">
        <v>10</v>
      </c>
      <c r="J14" s="5"/>
      <c r="K14" s="5"/>
      <c r="L14" s="5"/>
      <c r="M14" s="5"/>
      <c r="N14" s="5" t="s">
        <v>8</v>
      </c>
      <c r="O14" s="5"/>
      <c r="P14" s="5"/>
      <c r="Q14" s="5">
        <v>53</v>
      </c>
      <c r="R14" s="5"/>
      <c r="S14" s="5"/>
      <c r="T14" s="5" t="s">
        <v>39</v>
      </c>
      <c r="U14" s="5"/>
      <c r="V14" s="5"/>
      <c r="W14" s="5"/>
      <c r="X14" s="5"/>
      <c r="Y14" s="5">
        <v>263.25259999999997</v>
      </c>
      <c r="Z14" s="5"/>
      <c r="AA14" s="5"/>
      <c r="AB14" s="5">
        <v>1.5194529999999999E-2</v>
      </c>
      <c r="AC14" s="5"/>
      <c r="AD14" s="5"/>
      <c r="AE14" s="5"/>
      <c r="AG14" s="5" t="s">
        <v>19</v>
      </c>
      <c r="AH14" s="5"/>
      <c r="AI14" s="5"/>
      <c r="AJ14" s="5" t="s">
        <v>30</v>
      </c>
      <c r="AK14" s="5"/>
      <c r="AL14" s="5"/>
      <c r="AM14" s="5"/>
      <c r="AN14" s="5"/>
    </row>
    <row r="15" spans="1:40" ht="18" customHeight="1" x14ac:dyDescent="0.3">
      <c r="B15" s="14" t="s">
        <v>12</v>
      </c>
      <c r="C15" s="14"/>
      <c r="D15" s="14"/>
      <c r="E15" s="5">
        <v>6</v>
      </c>
      <c r="F15" s="5"/>
      <c r="G15" s="5"/>
      <c r="H15" s="5"/>
      <c r="I15" s="5" t="s">
        <v>13</v>
      </c>
      <c r="J15" s="5"/>
      <c r="K15" s="5"/>
      <c r="L15" s="5"/>
      <c r="M15" s="5"/>
      <c r="N15" s="5" t="s">
        <v>37</v>
      </c>
      <c r="O15" s="5"/>
      <c r="P15" s="5"/>
      <c r="Q15" s="5">
        <v>25</v>
      </c>
      <c r="R15" s="5"/>
      <c r="S15" s="5"/>
      <c r="T15" s="5" t="s">
        <v>39</v>
      </c>
      <c r="U15" s="5"/>
      <c r="V15" s="5"/>
      <c r="W15" s="5"/>
      <c r="X15" s="5"/>
      <c r="Y15" s="5">
        <v>210.12219999999999</v>
      </c>
      <c r="Z15" s="5"/>
      <c r="AA15" s="5"/>
      <c r="AB15" s="5">
        <v>2.855481E-2</v>
      </c>
      <c r="AC15" s="5"/>
      <c r="AD15" s="5"/>
      <c r="AE15" s="5"/>
      <c r="AG15" s="5" t="s">
        <v>20</v>
      </c>
      <c r="AH15" s="5"/>
      <c r="AI15" s="5"/>
      <c r="AJ15" s="5" t="s">
        <v>31</v>
      </c>
      <c r="AK15" s="5"/>
      <c r="AL15" s="5"/>
      <c r="AM15" s="5"/>
      <c r="AN15" s="5"/>
    </row>
    <row r="16" spans="1:40" ht="18" customHeight="1" x14ac:dyDescent="0.3">
      <c r="B16" s="14" t="s">
        <v>14</v>
      </c>
      <c r="C16" s="14"/>
      <c r="D16" s="14"/>
      <c r="E16" s="5">
        <v>10.925000000000001</v>
      </c>
      <c r="F16" s="5"/>
      <c r="G16" s="5"/>
      <c r="H16" s="5"/>
      <c r="I16" s="5" t="s">
        <v>15</v>
      </c>
      <c r="J16" s="5"/>
      <c r="K16" s="5"/>
      <c r="L16" s="5"/>
      <c r="M16" s="5"/>
      <c r="N16" s="5" t="s">
        <v>37</v>
      </c>
      <c r="O16" s="5"/>
      <c r="P16" s="5"/>
      <c r="Q16" s="5" t="s">
        <v>37</v>
      </c>
      <c r="R16" s="5"/>
      <c r="S16" s="5"/>
      <c r="T16" s="5" t="s">
        <v>37</v>
      </c>
      <c r="U16" s="5"/>
      <c r="V16" s="5"/>
      <c r="W16" s="5"/>
      <c r="X16" s="5"/>
      <c r="Y16" s="5">
        <v>3515.5</v>
      </c>
      <c r="Z16" s="5"/>
      <c r="AA16" s="5"/>
      <c r="AB16" s="5">
        <v>3.1076699999999999E-3</v>
      </c>
      <c r="AC16" s="5"/>
      <c r="AD16" s="5"/>
      <c r="AE16" s="5"/>
    </row>
    <row r="17" spans="2:40" ht="18" customHeight="1" x14ac:dyDescent="0.3">
      <c r="B17" s="5" t="s">
        <v>41</v>
      </c>
      <c r="C17" s="5"/>
      <c r="D17" s="5"/>
      <c r="E17" s="5">
        <f>SUM(E11:H16)</f>
        <v>28</v>
      </c>
      <c r="F17" s="5"/>
      <c r="G17" s="5"/>
      <c r="H17" s="5"/>
      <c r="Y17" s="5" t="s">
        <v>40</v>
      </c>
      <c r="Z17" s="5"/>
      <c r="AA17" s="5"/>
      <c r="AB17" s="5">
        <f>SUM(AB11:AE16)</f>
        <v>7.1150249999999998E-2</v>
      </c>
      <c r="AC17" s="5"/>
      <c r="AD17" s="5"/>
      <c r="AE17" s="5"/>
      <c r="AG17" s="2" t="s">
        <v>32</v>
      </c>
      <c r="AL17" s="8">
        <v>393.5335</v>
      </c>
      <c r="AM17" s="8"/>
      <c r="AN17" s="3" t="s">
        <v>6</v>
      </c>
    </row>
    <row r="18" spans="2:40" ht="18" customHeight="1" x14ac:dyDescent="0.3">
      <c r="AG18" s="9" t="s">
        <v>22</v>
      </c>
      <c r="AH18" s="7" t="s">
        <v>23</v>
      </c>
      <c r="AI18" s="7"/>
      <c r="AJ18" s="7"/>
      <c r="AK18" s="7"/>
      <c r="AL18" s="7"/>
      <c r="AM18" s="11" t="s">
        <v>16</v>
      </c>
      <c r="AN18" s="11"/>
    </row>
    <row r="21" spans="2:40" ht="18" customHeight="1" x14ac:dyDescent="0.3">
      <c r="AM21" s="1"/>
    </row>
  </sheetData>
  <mergeCells count="81">
    <mergeCell ref="N3:P3"/>
    <mergeCell ref="G4:H4"/>
    <mergeCell ref="Y17:AA17"/>
    <mergeCell ref="AB17:AE17"/>
    <mergeCell ref="B17:D17"/>
    <mergeCell ref="E17:H17"/>
    <mergeCell ref="B9:D10"/>
    <mergeCell ref="B7:G7"/>
    <mergeCell ref="Y12:AA12"/>
    <mergeCell ref="Y13:AA13"/>
    <mergeCell ref="Y14:AA14"/>
    <mergeCell ref="Y15:AA15"/>
    <mergeCell ref="Y16:AA16"/>
    <mergeCell ref="AB12:AE12"/>
    <mergeCell ref="AB13:AE13"/>
    <mergeCell ref="AB14:AE14"/>
    <mergeCell ref="AB15:AE15"/>
    <mergeCell ref="AB16:AE16"/>
    <mergeCell ref="Q12:S12"/>
    <mergeCell ref="Q13:S13"/>
    <mergeCell ref="Q14:S14"/>
    <mergeCell ref="Q15:S15"/>
    <mergeCell ref="Q16:S16"/>
    <mergeCell ref="T12:X12"/>
    <mergeCell ref="T13:X13"/>
    <mergeCell ref="T14:X14"/>
    <mergeCell ref="T15:X15"/>
    <mergeCell ref="T16:X16"/>
    <mergeCell ref="I12:M12"/>
    <mergeCell ref="I13:M13"/>
    <mergeCell ref="I14:M14"/>
    <mergeCell ref="I15:M15"/>
    <mergeCell ref="I16:M16"/>
    <mergeCell ref="N12:P12"/>
    <mergeCell ref="N13:P13"/>
    <mergeCell ref="N14:P14"/>
    <mergeCell ref="N15:P15"/>
    <mergeCell ref="N16:P16"/>
    <mergeCell ref="B12:D12"/>
    <mergeCell ref="B13:D13"/>
    <mergeCell ref="B14:D14"/>
    <mergeCell ref="B15:D15"/>
    <mergeCell ref="B16:D16"/>
    <mergeCell ref="E12:H12"/>
    <mergeCell ref="E13:H13"/>
    <mergeCell ref="E14:H14"/>
    <mergeCell ref="E15:H15"/>
    <mergeCell ref="E16:H16"/>
    <mergeCell ref="T10:X10"/>
    <mergeCell ref="Y10:AA10"/>
    <mergeCell ref="T9:AA9"/>
    <mergeCell ref="Y11:AA11"/>
    <mergeCell ref="AB11:AE11"/>
    <mergeCell ref="AB9:AE10"/>
    <mergeCell ref="T11:X11"/>
    <mergeCell ref="I11:M11"/>
    <mergeCell ref="I9:M10"/>
    <mergeCell ref="N9:P10"/>
    <mergeCell ref="N11:P11"/>
    <mergeCell ref="Q9:S9"/>
    <mergeCell ref="Q10:S10"/>
    <mergeCell ref="Q11:S11"/>
    <mergeCell ref="AG9:AN10"/>
    <mergeCell ref="AL17:AM17"/>
    <mergeCell ref="H7:I7"/>
    <mergeCell ref="B11:D11"/>
    <mergeCell ref="AM18:AN18"/>
    <mergeCell ref="AH18:AL18"/>
    <mergeCell ref="E9:H9"/>
    <mergeCell ref="E10:H10"/>
    <mergeCell ref="E11:H11"/>
    <mergeCell ref="AJ11:AN11"/>
    <mergeCell ref="AJ12:AN12"/>
    <mergeCell ref="AJ13:AN13"/>
    <mergeCell ref="AJ14:AN14"/>
    <mergeCell ref="AJ15:AN15"/>
    <mergeCell ref="AG11:AI11"/>
    <mergeCell ref="AG12:AI12"/>
    <mergeCell ref="AG13:AI13"/>
    <mergeCell ref="AG14:AI14"/>
    <mergeCell ref="AG15:AI15"/>
  </mergeCells>
  <phoneticPr fontId="6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Class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Nandeep Gohil</cp:lastModifiedBy>
  <dcterms:created xsi:type="dcterms:W3CDTF">2026-02-17T04:36:20Z</dcterms:created>
  <dcterms:modified xsi:type="dcterms:W3CDTF">2026-02-17T05:39:46Z</dcterms:modified>
</cp:coreProperties>
</file>